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tiavana\Downloads\"/>
    </mc:Choice>
  </mc:AlternateContent>
  <xr:revisionPtr revIDLastSave="0" documentId="13_ncr:1_{625ABAF9-593E-4320-80EE-4751D3742A51}" xr6:coauthVersionLast="45" xr6:coauthVersionMax="47" xr10:uidLastSave="{00000000-0000-0000-0000-000000000000}"/>
  <bookViews>
    <workbookView xWindow="-108" yWindow="-108" windowWidth="23256" windowHeight="12456" xr2:uid="{A78D1A1C-47C5-4E5A-A4D1-449521635D5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22" i="1" l="1"/>
  <c r="L22" i="1"/>
  <c r="M22" i="1"/>
  <c r="N22" i="1"/>
  <c r="O22" i="1"/>
  <c r="P22" i="1"/>
  <c r="Q22" i="1"/>
  <c r="R22" i="1"/>
  <c r="V22" i="1" l="1"/>
  <c r="U22" i="1"/>
  <c r="T22" i="1"/>
  <c r="S22" i="1"/>
  <c r="I22" i="1"/>
  <c r="H22" i="1"/>
  <c r="G22" i="1"/>
  <c r="F22" i="1"/>
  <c r="E22" i="1"/>
  <c r="D22" i="1"/>
  <c r="C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22" i="1" l="1"/>
  <c r="D23" i="1"/>
</calcChain>
</file>

<file path=xl/sharedStrings.xml><?xml version="1.0" encoding="utf-8"?>
<sst xmlns="http://schemas.openxmlformats.org/spreadsheetml/2006/main" count="48" uniqueCount="44">
  <si>
    <t>DRSP:ITASY</t>
  </si>
  <si>
    <t>SDSP: MIARINARIVO</t>
  </si>
  <si>
    <t>CSB II: ANALAVORY</t>
  </si>
  <si>
    <t>N°</t>
  </si>
  <si>
    <t>Anaran'ny Fokotany</t>
  </si>
  <si>
    <t>Isan'ny mponina rehetra</t>
  </si>
  <si>
    <t>Isan'ny olona nihinana fanafody</t>
  </si>
  <si>
    <t>Isan'ny fanafody nozaraina</t>
  </si>
  <si>
    <t>Antony tsy nihinanana fanafody</t>
  </si>
  <si>
    <t>Isan'ny tranga tsy nirina taorin'ny fihinanana</t>
  </si>
  <si>
    <t>Isan'ny trangan'aretina</t>
  </si>
  <si>
    <t>2 à 4</t>
  </si>
  <si>
    <t>5 à 14</t>
  </si>
  <si>
    <t>15 no miakatra</t>
  </si>
  <si>
    <t>ALB</t>
  </si>
  <si>
    <t>DEC</t>
  </si>
  <si>
    <t>IVM</t>
  </si>
  <si>
    <r>
      <rPr>
        <b/>
        <sz val="11"/>
        <color theme="1"/>
        <rFont val="Symbol"/>
        <family val="1"/>
        <charset val="2"/>
      </rPr>
      <t>&lt;</t>
    </r>
    <r>
      <rPr>
        <b/>
        <sz val="11"/>
        <color theme="1"/>
        <rFont val="Calibri"/>
        <family val="2"/>
      </rPr>
      <t xml:space="preserve"> 2 ans</t>
    </r>
  </si>
  <si>
    <t>Bevohoka</t>
  </si>
  <si>
    <r>
      <t xml:space="preserve">Mampinono </t>
    </r>
    <r>
      <rPr>
        <b/>
        <sz val="11"/>
        <color theme="1"/>
        <rFont val="Symbol"/>
        <family val="1"/>
        <charset val="2"/>
      </rPr>
      <t>&lt;</t>
    </r>
    <r>
      <rPr>
        <b/>
        <sz val="11"/>
        <color theme="1"/>
        <rFont val="Calibri"/>
        <family val="2"/>
      </rPr>
      <t xml:space="preserve"> 7 andro</t>
    </r>
  </si>
  <si>
    <t>Marary mafy</t>
  </si>
  <si>
    <t>Tsy tao an-trano</t>
  </si>
  <si>
    <t>Nandà</t>
  </si>
  <si>
    <t>Tsy misy fahasarotany</t>
  </si>
  <si>
    <t>Misy fahasarotany</t>
  </si>
  <si>
    <t>Ongobe</t>
  </si>
  <si>
    <t>Bongabe</t>
  </si>
  <si>
    <t>Lahy</t>
  </si>
  <si>
    <t>Vavy</t>
  </si>
  <si>
    <t>ANALAVORY</t>
  </si>
  <si>
    <t>AMBATOMITSANGANA</t>
  </si>
  <si>
    <t>AMBOHIBARY</t>
  </si>
  <si>
    <t>NGILOMBY</t>
  </si>
  <si>
    <t>SOARONONO</t>
  </si>
  <si>
    <t>TSARAZAZA</t>
  </si>
  <si>
    <t>AMBONIRINA</t>
  </si>
  <si>
    <t>AMINAVIAVY</t>
  </si>
  <si>
    <t>ANKOTRABE</t>
  </si>
  <si>
    <t>KIANJASOA</t>
  </si>
  <si>
    <t>AMBOATRATOANDRO</t>
  </si>
  <si>
    <t>ANDRANOMAVO</t>
  </si>
  <si>
    <t>AMPARAKY</t>
  </si>
  <si>
    <t>TOTAL</t>
  </si>
  <si>
    <t>Résultats J4 : 27/11/2025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</si>
</sst>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1"/>
      <charset val="2"/>
    </font>
    <font>
      <b/>
      <sz val="11"/>
      <color theme="1"/>
      <name val="Symbol"/>
      <family val="1"/>
      <charset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5" xfId="0" applyFont="1" applyBorder="1" applyAlignment="1">
      <alignment horizontal="center" vertical="center" wrapText="1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4" xfId="0" applyBorder="1"/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BECD4-DB98-43F6-898D-33044C76D254}">
  <dimension ref="A1:V23"/>
  <sheetViews>
    <sheetView tabSelected="1" zoomScaleNormal="100" workbookViewId="0">
      <selection activeCell="N16" sqref="N16"/>
    </sheetView>
  </sheetViews>
  <sheetFormatPr baseColWidth="10" defaultRowHeight="14.4"/>
  <cols>
    <col min="1" max="1" width="3.109375" bestFit="1" customWidth="1"/>
    <col min="2" max="2" width="21.44140625" bestFit="1" customWidth="1"/>
    <col min="4" max="4" width="5.33203125" bestFit="1" customWidth="1"/>
    <col min="5" max="5" width="5.6640625" bestFit="1" customWidth="1"/>
    <col min="6" max="6" width="5.5546875" bestFit="1" customWidth="1"/>
    <col min="7" max="7" width="5.33203125" bestFit="1" customWidth="1"/>
    <col min="8" max="8" width="5.5546875" bestFit="1" customWidth="1"/>
    <col min="9" max="9" width="5.6640625" bestFit="1" customWidth="1"/>
    <col min="10" max="12" width="6.6640625" customWidth="1"/>
  </cols>
  <sheetData>
    <row r="1" spans="1:22">
      <c r="B1" t="s">
        <v>0</v>
      </c>
    </row>
    <row r="2" spans="1:22">
      <c r="B2" t="s">
        <v>1</v>
      </c>
    </row>
    <row r="3" spans="1:22">
      <c r="B3" t="s">
        <v>2</v>
      </c>
    </row>
    <row r="4" spans="1:22">
      <c r="A4" s="15" t="s">
        <v>43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</row>
    <row r="6" spans="1:22">
      <c r="A6" s="5" t="s">
        <v>3</v>
      </c>
      <c r="B6" s="5" t="s">
        <v>4</v>
      </c>
      <c r="C6" s="5" t="s">
        <v>5</v>
      </c>
      <c r="D6" s="11" t="s">
        <v>6</v>
      </c>
      <c r="E6" s="17"/>
      <c r="F6" s="17"/>
      <c r="G6" s="17"/>
      <c r="H6" s="17"/>
      <c r="I6" s="12"/>
      <c r="J6" s="18" t="s">
        <v>7</v>
      </c>
      <c r="K6" s="18"/>
      <c r="L6" s="18"/>
      <c r="M6" s="18" t="s">
        <v>8</v>
      </c>
      <c r="N6" s="18"/>
      <c r="O6" s="18"/>
      <c r="P6" s="18"/>
      <c r="Q6" s="18"/>
      <c r="R6" s="18"/>
      <c r="S6" s="18" t="s">
        <v>9</v>
      </c>
      <c r="T6" s="18"/>
      <c r="U6" s="18" t="s">
        <v>10</v>
      </c>
      <c r="V6" s="18"/>
    </row>
    <row r="7" spans="1:22">
      <c r="A7" s="16"/>
      <c r="B7" s="16"/>
      <c r="C7" s="16"/>
      <c r="D7" s="11" t="s">
        <v>11</v>
      </c>
      <c r="E7" s="12"/>
      <c r="F7" s="11" t="s">
        <v>12</v>
      </c>
      <c r="G7" s="12"/>
      <c r="H7" s="11" t="s">
        <v>13</v>
      </c>
      <c r="I7" s="12"/>
      <c r="J7" s="5" t="s">
        <v>14</v>
      </c>
      <c r="K7" s="5" t="s">
        <v>15</v>
      </c>
      <c r="L7" s="5" t="s">
        <v>16</v>
      </c>
      <c r="M7" s="13" t="s">
        <v>17</v>
      </c>
      <c r="N7" s="5" t="s">
        <v>18</v>
      </c>
      <c r="O7" s="5" t="s">
        <v>19</v>
      </c>
      <c r="P7" s="5" t="s">
        <v>20</v>
      </c>
      <c r="Q7" s="5" t="s">
        <v>21</v>
      </c>
      <c r="R7" s="5" t="s">
        <v>22</v>
      </c>
      <c r="S7" s="5" t="s">
        <v>23</v>
      </c>
      <c r="T7" s="5" t="s">
        <v>24</v>
      </c>
      <c r="U7" s="5" t="s">
        <v>25</v>
      </c>
      <c r="V7" s="5" t="s">
        <v>26</v>
      </c>
    </row>
    <row r="8" spans="1:22">
      <c r="A8" s="6"/>
      <c r="B8" s="6"/>
      <c r="C8" s="6"/>
      <c r="D8" s="1" t="s">
        <v>27</v>
      </c>
      <c r="E8" s="1" t="s">
        <v>28</v>
      </c>
      <c r="F8" s="1" t="s">
        <v>27</v>
      </c>
      <c r="G8" s="1" t="s">
        <v>28</v>
      </c>
      <c r="H8" s="1" t="s">
        <v>27</v>
      </c>
      <c r="I8" s="1" t="s">
        <v>28</v>
      </c>
      <c r="J8" s="6"/>
      <c r="K8" s="6"/>
      <c r="L8" s="6"/>
      <c r="M8" s="14"/>
      <c r="N8" s="6"/>
      <c r="O8" s="6"/>
      <c r="P8" s="6"/>
      <c r="Q8" s="6"/>
      <c r="R8" s="6"/>
      <c r="S8" s="6"/>
      <c r="T8" s="6"/>
      <c r="U8" s="6"/>
      <c r="V8" s="6"/>
    </row>
    <row r="9" spans="1:22">
      <c r="A9" s="2">
        <v>1</v>
      </c>
      <c r="B9" s="2" t="s">
        <v>29</v>
      </c>
      <c r="C9" s="3">
        <v>8374</v>
      </c>
      <c r="D9" s="2">
        <v>70</v>
      </c>
      <c r="E9" s="2">
        <v>64</v>
      </c>
      <c r="F9" s="2">
        <v>198</v>
      </c>
      <c r="G9" s="2">
        <v>191</v>
      </c>
      <c r="H9" s="2">
        <v>170</v>
      </c>
      <c r="I9" s="2">
        <v>255</v>
      </c>
      <c r="J9" s="2">
        <f>SUM(D9:I9)</f>
        <v>948</v>
      </c>
      <c r="K9" s="2">
        <v>2188</v>
      </c>
      <c r="L9" s="2">
        <v>2054</v>
      </c>
      <c r="M9" s="2">
        <v>23</v>
      </c>
      <c r="N9" s="2">
        <v>7</v>
      </c>
      <c r="O9" s="2">
        <v>1</v>
      </c>
      <c r="P9" s="2">
        <v>5</v>
      </c>
      <c r="Q9" s="2">
        <v>2</v>
      </c>
      <c r="R9" s="2">
        <v>0</v>
      </c>
      <c r="S9" s="2">
        <v>0</v>
      </c>
      <c r="T9" s="2">
        <v>0</v>
      </c>
      <c r="U9" s="2">
        <v>0</v>
      </c>
      <c r="V9" s="2">
        <v>0</v>
      </c>
    </row>
    <row r="10" spans="1:22">
      <c r="A10" s="2">
        <v>2</v>
      </c>
      <c r="B10" s="2" t="s">
        <v>30</v>
      </c>
      <c r="C10" s="3">
        <v>3838</v>
      </c>
      <c r="D10" s="2">
        <v>63</v>
      </c>
      <c r="E10" s="2">
        <v>78</v>
      </c>
      <c r="F10" s="2">
        <v>170</v>
      </c>
      <c r="G10" s="2">
        <v>157</v>
      </c>
      <c r="H10" s="2">
        <v>160</v>
      </c>
      <c r="I10" s="2">
        <v>153</v>
      </c>
      <c r="J10" s="2">
        <f t="shared" ref="J10:J21" si="0">SUM(D10:I10)</f>
        <v>781</v>
      </c>
      <c r="K10" s="2">
        <v>1697</v>
      </c>
      <c r="L10" s="2">
        <v>1556</v>
      </c>
      <c r="M10" s="2">
        <v>18</v>
      </c>
      <c r="N10" s="2">
        <v>2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</row>
    <row r="11" spans="1:22">
      <c r="A11" s="2">
        <v>3</v>
      </c>
      <c r="B11" s="2" t="s">
        <v>31</v>
      </c>
      <c r="C11" s="3">
        <v>2435</v>
      </c>
      <c r="D11" s="2">
        <v>27</v>
      </c>
      <c r="E11" s="2">
        <v>22</v>
      </c>
      <c r="F11" s="2">
        <v>89</v>
      </c>
      <c r="G11" s="2">
        <v>62</v>
      </c>
      <c r="H11" s="2">
        <v>81</v>
      </c>
      <c r="I11" s="2">
        <v>88</v>
      </c>
      <c r="J11" s="2">
        <f t="shared" si="0"/>
        <v>369</v>
      </c>
      <c r="K11" s="2">
        <v>834</v>
      </c>
      <c r="L11" s="2">
        <v>785</v>
      </c>
      <c r="M11" s="2">
        <v>18</v>
      </c>
      <c r="N11" s="2">
        <v>2</v>
      </c>
      <c r="O11" s="2">
        <v>1</v>
      </c>
      <c r="P11" s="2">
        <v>0</v>
      </c>
      <c r="Q11" s="2">
        <v>5</v>
      </c>
      <c r="R11" s="2">
        <v>3</v>
      </c>
      <c r="S11" s="2">
        <v>0</v>
      </c>
      <c r="T11" s="2">
        <v>0</v>
      </c>
      <c r="U11" s="2">
        <v>0</v>
      </c>
      <c r="V11" s="2">
        <v>0</v>
      </c>
    </row>
    <row r="12" spans="1:22">
      <c r="A12" s="2">
        <v>4</v>
      </c>
      <c r="B12" s="2" t="s">
        <v>32</v>
      </c>
      <c r="C12" s="3">
        <v>4166</v>
      </c>
      <c r="D12" s="2">
        <v>42</v>
      </c>
      <c r="E12" s="2">
        <v>55</v>
      </c>
      <c r="F12" s="2">
        <v>178</v>
      </c>
      <c r="G12" s="2">
        <v>186</v>
      </c>
      <c r="H12" s="2">
        <v>290</v>
      </c>
      <c r="I12" s="2">
        <v>283</v>
      </c>
      <c r="J12" s="2">
        <f t="shared" si="0"/>
        <v>1034</v>
      </c>
      <c r="K12" s="2">
        <v>2750</v>
      </c>
      <c r="L12" s="2">
        <v>2653</v>
      </c>
      <c r="M12" s="2">
        <v>28</v>
      </c>
      <c r="N12" s="2">
        <v>12</v>
      </c>
      <c r="O12" s="2">
        <v>1</v>
      </c>
      <c r="P12" s="2">
        <v>4</v>
      </c>
      <c r="Q12" s="2">
        <v>5</v>
      </c>
      <c r="R12" s="2">
        <v>4</v>
      </c>
      <c r="S12" s="2">
        <v>0</v>
      </c>
      <c r="T12" s="2">
        <v>0</v>
      </c>
      <c r="U12" s="2">
        <v>0</v>
      </c>
      <c r="V12" s="2">
        <v>0</v>
      </c>
    </row>
    <row r="13" spans="1:22">
      <c r="A13" s="2">
        <v>5</v>
      </c>
      <c r="B13" s="2" t="s">
        <v>33</v>
      </c>
      <c r="C13" s="3">
        <v>1359</v>
      </c>
      <c r="D13" s="2">
        <v>7</v>
      </c>
      <c r="E13" s="2">
        <v>8</v>
      </c>
      <c r="F13" s="2">
        <v>37</v>
      </c>
      <c r="G13" s="2">
        <v>40</v>
      </c>
      <c r="H13" s="2">
        <v>30</v>
      </c>
      <c r="I13" s="2">
        <v>22</v>
      </c>
      <c r="J13" s="2">
        <f t="shared" si="0"/>
        <v>144</v>
      </c>
      <c r="K13" s="2">
        <v>304</v>
      </c>
      <c r="L13" s="2">
        <v>289</v>
      </c>
      <c r="M13" s="2">
        <v>6</v>
      </c>
      <c r="N13" s="2">
        <v>2</v>
      </c>
      <c r="O13" s="2">
        <v>2</v>
      </c>
      <c r="P13" s="2">
        <v>0</v>
      </c>
      <c r="Q13" s="2">
        <v>4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</row>
    <row r="14" spans="1:22">
      <c r="A14" s="2">
        <v>6</v>
      </c>
      <c r="B14" s="2" t="s">
        <v>34</v>
      </c>
      <c r="C14" s="3">
        <v>3155</v>
      </c>
      <c r="D14" s="2">
        <v>36</v>
      </c>
      <c r="E14" s="2">
        <v>43</v>
      </c>
      <c r="F14" s="2">
        <v>199</v>
      </c>
      <c r="G14" s="2">
        <v>210</v>
      </c>
      <c r="H14" s="2">
        <v>117</v>
      </c>
      <c r="I14" s="2">
        <v>127</v>
      </c>
      <c r="J14" s="2">
        <f t="shared" si="0"/>
        <v>732</v>
      </c>
      <c r="K14" s="2">
        <v>1464</v>
      </c>
      <c r="L14" s="2">
        <v>1385</v>
      </c>
      <c r="M14" s="2">
        <v>37</v>
      </c>
      <c r="N14" s="2">
        <v>5</v>
      </c>
      <c r="O14" s="2">
        <v>1</v>
      </c>
      <c r="P14" s="2">
        <v>1</v>
      </c>
      <c r="Q14" s="2">
        <v>19</v>
      </c>
      <c r="R14" s="2">
        <v>2</v>
      </c>
      <c r="S14" s="2">
        <v>0</v>
      </c>
      <c r="T14" s="2">
        <v>0</v>
      </c>
      <c r="U14" s="2">
        <v>0</v>
      </c>
      <c r="V14" s="2">
        <v>0</v>
      </c>
    </row>
    <row r="15" spans="1:22">
      <c r="A15" s="2">
        <v>7</v>
      </c>
      <c r="B15" s="2" t="s">
        <v>35</v>
      </c>
      <c r="C15" s="3">
        <v>3520</v>
      </c>
      <c r="D15" s="2"/>
      <c r="E15" s="2"/>
      <c r="F15" s="2"/>
      <c r="G15" s="2"/>
      <c r="H15" s="2"/>
      <c r="I15" s="2"/>
      <c r="J15" s="2">
        <f t="shared" si="0"/>
        <v>0</v>
      </c>
      <c r="K15" s="2"/>
      <c r="L15" s="2"/>
      <c r="M15" s="2"/>
      <c r="N15" s="2"/>
      <c r="O15" s="2"/>
      <c r="P15" s="2"/>
      <c r="Q15" s="2"/>
      <c r="R15" s="2"/>
      <c r="S15" s="2">
        <v>0</v>
      </c>
      <c r="T15" s="2">
        <v>0</v>
      </c>
      <c r="U15" s="2">
        <v>0</v>
      </c>
      <c r="V15" s="2">
        <v>0</v>
      </c>
    </row>
    <row r="16" spans="1:22">
      <c r="A16" s="2">
        <v>8</v>
      </c>
      <c r="B16" s="2" t="s">
        <v>36</v>
      </c>
      <c r="C16" s="3">
        <v>2940</v>
      </c>
      <c r="D16" s="2">
        <v>12</v>
      </c>
      <c r="E16" s="2">
        <v>10</v>
      </c>
      <c r="F16" s="2">
        <v>42</v>
      </c>
      <c r="G16" s="2">
        <v>33</v>
      </c>
      <c r="H16" s="2">
        <v>52</v>
      </c>
      <c r="I16" s="2">
        <v>58</v>
      </c>
      <c r="J16" s="2">
        <f t="shared" si="0"/>
        <v>207</v>
      </c>
      <c r="K16" s="2">
        <v>513</v>
      </c>
      <c r="L16" s="2">
        <v>491</v>
      </c>
      <c r="M16" s="2">
        <v>20</v>
      </c>
      <c r="N16" s="2">
        <v>6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</row>
    <row r="17" spans="1:22">
      <c r="A17" s="2">
        <v>9</v>
      </c>
      <c r="B17" s="2" t="s">
        <v>37</v>
      </c>
      <c r="C17" s="3">
        <v>2677</v>
      </c>
      <c r="D17" s="2">
        <v>11</v>
      </c>
      <c r="E17" s="2">
        <v>14</v>
      </c>
      <c r="F17" s="2">
        <v>47</v>
      </c>
      <c r="G17" s="2">
        <v>42</v>
      </c>
      <c r="H17" s="2">
        <v>34</v>
      </c>
      <c r="I17" s="2">
        <v>29</v>
      </c>
      <c r="J17" s="2">
        <f t="shared" si="0"/>
        <v>177</v>
      </c>
      <c r="K17" s="2">
        <v>373</v>
      </c>
      <c r="L17" s="2">
        <v>348</v>
      </c>
      <c r="M17" s="2">
        <v>7</v>
      </c>
      <c r="N17" s="2">
        <v>2</v>
      </c>
      <c r="O17" s="2">
        <v>2</v>
      </c>
      <c r="P17" s="2">
        <v>0</v>
      </c>
      <c r="Q17" s="2">
        <v>1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</row>
    <row r="18" spans="1:22">
      <c r="A18" s="2">
        <v>10</v>
      </c>
      <c r="B18" s="2" t="s">
        <v>38</v>
      </c>
      <c r="C18" s="3">
        <v>2588</v>
      </c>
      <c r="D18" s="2">
        <v>6</v>
      </c>
      <c r="E18" s="2">
        <v>3</v>
      </c>
      <c r="F18" s="2">
        <v>125</v>
      </c>
      <c r="G18" s="2">
        <v>128</v>
      </c>
      <c r="H18" s="2">
        <v>89</v>
      </c>
      <c r="I18" s="2">
        <v>87</v>
      </c>
      <c r="J18" s="2">
        <f t="shared" si="0"/>
        <v>438</v>
      </c>
      <c r="K18" s="2">
        <v>940</v>
      </c>
      <c r="L18" s="2">
        <v>931</v>
      </c>
      <c r="M18" s="2">
        <v>9</v>
      </c>
      <c r="N18" s="2">
        <v>3</v>
      </c>
      <c r="O18" s="2">
        <v>1</v>
      </c>
      <c r="P18" s="2">
        <v>0</v>
      </c>
      <c r="Q18" s="2">
        <v>8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</row>
    <row r="19" spans="1:22">
      <c r="A19" s="2">
        <v>11</v>
      </c>
      <c r="B19" s="2" t="s">
        <v>39</v>
      </c>
      <c r="C19" s="3">
        <v>2782</v>
      </c>
      <c r="D19" s="2">
        <v>55</v>
      </c>
      <c r="E19" s="2">
        <v>67</v>
      </c>
      <c r="F19" s="2">
        <v>108</v>
      </c>
      <c r="G19" s="2">
        <v>93</v>
      </c>
      <c r="H19" s="2">
        <v>120</v>
      </c>
      <c r="I19" s="2">
        <v>117</v>
      </c>
      <c r="J19" s="2">
        <f t="shared" si="0"/>
        <v>560</v>
      </c>
      <c r="K19" s="2">
        <v>1219</v>
      </c>
      <c r="L19" s="2">
        <v>1097</v>
      </c>
      <c r="M19" s="2">
        <v>6</v>
      </c>
      <c r="N19" s="2">
        <v>2</v>
      </c>
      <c r="O19" s="2">
        <v>1</v>
      </c>
      <c r="P19" s="2">
        <v>0</v>
      </c>
      <c r="Q19" s="2">
        <v>3</v>
      </c>
      <c r="R19" s="2">
        <v>6</v>
      </c>
      <c r="S19" s="2">
        <v>0</v>
      </c>
      <c r="T19" s="2">
        <v>0</v>
      </c>
      <c r="U19" s="2">
        <v>0</v>
      </c>
      <c r="V19" s="2">
        <v>0</v>
      </c>
    </row>
    <row r="20" spans="1:22">
      <c r="A20" s="2">
        <v>12</v>
      </c>
      <c r="B20" s="2" t="s">
        <v>40</v>
      </c>
      <c r="C20" s="3">
        <v>2427</v>
      </c>
      <c r="D20" s="2"/>
      <c r="E20" s="2"/>
      <c r="F20" s="2"/>
      <c r="G20" s="2"/>
      <c r="H20" s="2"/>
      <c r="I20" s="2"/>
      <c r="J20" s="2">
        <f t="shared" si="0"/>
        <v>0</v>
      </c>
      <c r="K20" s="2"/>
      <c r="L20" s="2"/>
      <c r="M20" s="2"/>
      <c r="N20" s="2"/>
      <c r="O20" s="2"/>
      <c r="P20" s="2"/>
      <c r="Q20" s="2"/>
      <c r="R20" s="2"/>
      <c r="S20" s="2">
        <v>0</v>
      </c>
      <c r="T20" s="2">
        <v>0</v>
      </c>
      <c r="U20" s="2">
        <v>0</v>
      </c>
      <c r="V20" s="2">
        <v>0</v>
      </c>
    </row>
    <row r="21" spans="1:22">
      <c r="A21" s="2">
        <v>13</v>
      </c>
      <c r="B21" s="2" t="s">
        <v>41</v>
      </c>
      <c r="C21" s="3">
        <v>3806</v>
      </c>
      <c r="D21" s="2"/>
      <c r="E21" s="2"/>
      <c r="F21" s="2"/>
      <c r="G21" s="2"/>
      <c r="H21" s="2"/>
      <c r="I21" s="2"/>
      <c r="J21" s="2">
        <f t="shared" si="0"/>
        <v>0</v>
      </c>
      <c r="K21" s="2"/>
      <c r="L21" s="2"/>
      <c r="M21" s="2"/>
      <c r="N21" s="2"/>
      <c r="O21" s="2"/>
      <c r="P21" s="2"/>
      <c r="Q21" s="2"/>
      <c r="R21" s="2"/>
      <c r="S21" s="2">
        <v>0</v>
      </c>
      <c r="T21" s="2">
        <v>0</v>
      </c>
      <c r="U21" s="2">
        <v>0</v>
      </c>
      <c r="V21" s="2">
        <v>0</v>
      </c>
    </row>
    <row r="22" spans="1:22">
      <c r="B22" s="7" t="s">
        <v>42</v>
      </c>
      <c r="C22" s="8">
        <f>SUM(C9:C21)</f>
        <v>44067</v>
      </c>
      <c r="D22" s="2">
        <f>SUM(D9:D21)</f>
        <v>329</v>
      </c>
      <c r="E22" s="2">
        <f t="shared" ref="E22:V22" si="1">SUM(E9:E21)</f>
        <v>364</v>
      </c>
      <c r="F22" s="2">
        <f t="shared" si="1"/>
        <v>1193</v>
      </c>
      <c r="G22" s="2">
        <f t="shared" si="1"/>
        <v>1142</v>
      </c>
      <c r="H22" s="2">
        <f t="shared" si="1"/>
        <v>1143</v>
      </c>
      <c r="I22" s="2">
        <f t="shared" si="1"/>
        <v>1219</v>
      </c>
      <c r="J22" s="4">
        <f t="shared" si="1"/>
        <v>5390</v>
      </c>
      <c r="K22" s="4">
        <f t="shared" si="1"/>
        <v>12282</v>
      </c>
      <c r="L22" s="4">
        <f t="shared" si="1"/>
        <v>11589</v>
      </c>
      <c r="M22" s="4">
        <f t="shared" si="1"/>
        <v>172</v>
      </c>
      <c r="N22" s="4">
        <f t="shared" si="1"/>
        <v>43</v>
      </c>
      <c r="O22" s="4">
        <f t="shared" si="1"/>
        <v>10</v>
      </c>
      <c r="P22" s="4">
        <f t="shared" si="1"/>
        <v>11</v>
      </c>
      <c r="Q22" s="4">
        <f t="shared" si="1"/>
        <v>47</v>
      </c>
      <c r="R22" s="4">
        <f t="shared" si="1"/>
        <v>15</v>
      </c>
      <c r="S22" s="2">
        <f t="shared" si="1"/>
        <v>0</v>
      </c>
      <c r="T22" s="2">
        <f t="shared" si="1"/>
        <v>0</v>
      </c>
      <c r="U22" s="2">
        <f t="shared" si="1"/>
        <v>0</v>
      </c>
      <c r="V22" s="2">
        <f t="shared" si="1"/>
        <v>0</v>
      </c>
    </row>
    <row r="23" spans="1:22">
      <c r="B23" s="7"/>
      <c r="C23" s="9"/>
      <c r="D23" s="10">
        <f>SUM(D22:I22)</f>
        <v>5390</v>
      </c>
      <c r="E23" s="10"/>
      <c r="F23" s="10"/>
      <c r="G23" s="10"/>
      <c r="H23" s="10"/>
      <c r="I23" s="10"/>
    </row>
  </sheetData>
  <mergeCells count="28">
    <mergeCell ref="L7:L8"/>
    <mergeCell ref="M7:M8"/>
    <mergeCell ref="A4:V4"/>
    <mergeCell ref="A6:A8"/>
    <mergeCell ref="B6:B8"/>
    <mergeCell ref="C6:C8"/>
    <mergeCell ref="D6:I6"/>
    <mergeCell ref="J6:L6"/>
    <mergeCell ref="M6:R6"/>
    <mergeCell ref="S6:T6"/>
    <mergeCell ref="U6:V6"/>
    <mergeCell ref="D7:E7"/>
    <mergeCell ref="T7:T8"/>
    <mergeCell ref="U7:U8"/>
    <mergeCell ref="V7:V8"/>
    <mergeCell ref="B22:B23"/>
    <mergeCell ref="C22:C23"/>
    <mergeCell ref="D23:I23"/>
    <mergeCell ref="N7:N8"/>
    <mergeCell ref="O7:O8"/>
    <mergeCell ref="P7:P8"/>
    <mergeCell ref="Q7:Q8"/>
    <mergeCell ref="R7:R8"/>
    <mergeCell ref="S7:S8"/>
    <mergeCell ref="F7:G7"/>
    <mergeCell ref="H7:I7"/>
    <mergeCell ref="J7:J8"/>
    <mergeCell ref="K7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csb2.analavory@outlook.fr</dc:creator>
  <cp:lastModifiedBy>Fitiavana</cp:lastModifiedBy>
  <dcterms:created xsi:type="dcterms:W3CDTF">2025-11-26T16:42:40Z</dcterms:created>
  <dcterms:modified xsi:type="dcterms:W3CDTF">2025-11-27T14:19:21Z</dcterms:modified>
</cp:coreProperties>
</file>